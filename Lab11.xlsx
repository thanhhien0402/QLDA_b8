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NPM2\QLDA\"/>
    </mc:Choice>
  </mc:AlternateContent>
  <xr:revisionPtr revIDLastSave="0" documentId="13_ncr:1_{3CA195FD-4F8D-41A4-97F1-89943D3289E1}" xr6:coauthVersionLast="47" xr6:coauthVersionMax="47" xr10:uidLastSave="{00000000-0000-0000-0000-000000000000}"/>
  <bookViews>
    <workbookView xWindow="-83" yWindow="0" windowWidth="10965" windowHeight="12863" activeTab="4" xr2:uid="{861F5330-9519-4CD4-99B4-76FCFBB286AA}"/>
  </bookViews>
  <sheets>
    <sheet name="Bài 1" sheetId="1" r:id="rId1"/>
    <sheet name="Bài 2" sheetId="2" r:id="rId2"/>
    <sheet name="Bài 3" sheetId="3" r:id="rId3"/>
    <sheet name="Bài 4" sheetId="4" r:id="rId4"/>
    <sheet name="Bài 5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2" i="5" l="1"/>
  <c r="C11" i="5"/>
  <c r="C10" i="5"/>
  <c r="C9" i="5"/>
  <c r="C8" i="5"/>
  <c r="E5" i="5"/>
  <c r="E4" i="5"/>
  <c r="E3" i="5"/>
  <c r="E2" i="5"/>
  <c r="D5" i="5"/>
  <c r="C5" i="5"/>
  <c r="C8" i="4"/>
  <c r="C7" i="4"/>
  <c r="C6" i="4"/>
  <c r="C5" i="4"/>
  <c r="E4" i="3"/>
  <c r="E5" i="3"/>
  <c r="E3" i="3"/>
  <c r="E2" i="3"/>
  <c r="D4" i="3"/>
  <c r="D5" i="3"/>
  <c r="D3" i="3"/>
  <c r="D2" i="3"/>
  <c r="B15" i="2"/>
  <c r="F12" i="2"/>
  <c r="E12" i="2"/>
  <c r="D12" i="2"/>
  <c r="C12" i="2"/>
  <c r="B12" i="2"/>
  <c r="F10" i="2"/>
  <c r="E10" i="2"/>
  <c r="D10" i="2"/>
  <c r="C10" i="2"/>
  <c r="B10" i="2"/>
  <c r="F6" i="2"/>
  <c r="E6" i="2"/>
  <c r="D6" i="2"/>
  <c r="C6" i="2"/>
  <c r="B6" i="2"/>
  <c r="B7" i="1"/>
  <c r="B13" i="1"/>
</calcChain>
</file>

<file path=xl/sharedStrings.xml><?xml version="1.0" encoding="utf-8"?>
<sst xmlns="http://schemas.openxmlformats.org/spreadsheetml/2006/main" count="73" uniqueCount="49">
  <si>
    <t>Discount rate</t>
  </si>
  <si>
    <t>Dự án 1</t>
  </si>
  <si>
    <t>Năm 1</t>
  </si>
  <si>
    <t>Năm 2</t>
  </si>
  <si>
    <t>Năm 3</t>
  </si>
  <si>
    <t>Năm 4</t>
  </si>
  <si>
    <t>Năm 5</t>
  </si>
  <si>
    <t>Lợi ích</t>
  </si>
  <si>
    <t xml:space="preserve">Chi phí </t>
  </si>
  <si>
    <t xml:space="preserve">Dòng tiền  </t>
  </si>
  <si>
    <t>NPV</t>
  </si>
  <si>
    <t>Dự án 2</t>
  </si>
  <si>
    <t>Tổng cộng</t>
  </si>
  <si>
    <t>Cost</t>
  </si>
  <si>
    <t>Discount factor</t>
  </si>
  <si>
    <t>Discount Cost</t>
  </si>
  <si>
    <t>Benefit</t>
  </si>
  <si>
    <t>Discount benefits</t>
  </si>
  <si>
    <t>Discountes benefits-cost</t>
  </si>
  <si>
    <t>Cumulative benefits-cost</t>
  </si>
  <si>
    <t>ROI</t>
  </si>
  <si>
    <t>Năm</t>
  </si>
  <si>
    <t>Chi phí</t>
  </si>
  <si>
    <t>Chi phí lũy kế</t>
  </si>
  <si>
    <t>Lợi ích lũy kế</t>
  </si>
  <si>
    <t>Điểm hòa vốn</t>
  </si>
  <si>
    <t>Giá trị công việc theo kế hoạch</t>
  </si>
  <si>
    <t>BCWS</t>
  </si>
  <si>
    <t>Giá trị công việc thực hiện được</t>
  </si>
  <si>
    <t>Chi phí thực tế</t>
  </si>
  <si>
    <t>Tổng ngân sách dự án</t>
  </si>
  <si>
    <t>BCWP</t>
  </si>
  <si>
    <t>ACWP</t>
  </si>
  <si>
    <t>BAC</t>
  </si>
  <si>
    <t>CV</t>
  </si>
  <si>
    <t>Sai lệch chi phí</t>
  </si>
  <si>
    <t>Sai lệch tiến độ</t>
  </si>
  <si>
    <t>SV</t>
  </si>
  <si>
    <t>Hiệu quả chi phí</t>
  </si>
  <si>
    <t>CPI</t>
  </si>
  <si>
    <t>SPI</t>
  </si>
  <si>
    <t>Hiệu quả tiến độ</t>
  </si>
  <si>
    <t>Công việc</t>
  </si>
  <si>
    <t xml:space="preserve">% hoàn thành </t>
  </si>
  <si>
    <t>Chi phí kế hoạch</t>
  </si>
  <si>
    <t xml:space="preserve">Giá trị công việc hoàn thành </t>
  </si>
  <si>
    <t>Tổng</t>
  </si>
  <si>
    <t>Giá trị công việc theo kế hoạch (sau 2 tuần)</t>
  </si>
  <si>
    <t>Kết quả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</si>
</sst>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9" fontId="0" fillId="0" borderId="0" xfId="0" applyNumberFormat="1"/>
    <xf numFmtId="0" fontId="0" fillId="0" borderId="0" xfId="0" applyNumberFormat="1"/>
    <xf numFmtId="8" fontId="0" fillId="0" borderId="0" xfId="0" applyNumberFormat="1"/>
    <xf numFmtId="4" fontId="0" fillId="0" borderId="0" xfId="0" applyNumberFormat="1"/>
    <xf numFmtId="10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99DAFA-D598-4132-B29D-B0E213861E91}">
  <dimension ref="A1:G13"/>
  <sheetViews>
    <sheetView topLeftCell="A4" zoomScale="141" workbookViewId="0">
      <selection activeCell="B7" sqref="B7"/>
    </sheetView>
  </sheetViews>
  <sheetFormatPr defaultRowHeight="14.25" x14ac:dyDescent="0.45"/>
  <cols>
    <col min="1" max="1" width="14.86328125" customWidth="1"/>
    <col min="2" max="2" width="10.265625" bestFit="1" customWidth="1"/>
  </cols>
  <sheetData>
    <row r="1" spans="1:7" x14ac:dyDescent="0.45">
      <c r="A1" t="s">
        <v>0</v>
      </c>
      <c r="B1" s="1">
        <v>0.1</v>
      </c>
    </row>
    <row r="3" spans="1:7" x14ac:dyDescent="0.45">
      <c r="A3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t="s">
        <v>12</v>
      </c>
    </row>
    <row r="4" spans="1:7" x14ac:dyDescent="0.45">
      <c r="A4" t="s">
        <v>7</v>
      </c>
      <c r="C4">
        <v>2000</v>
      </c>
      <c r="D4">
        <v>3000</v>
      </c>
      <c r="E4">
        <v>4000</v>
      </c>
      <c r="F4" s="2">
        <v>5000</v>
      </c>
    </row>
    <row r="5" spans="1:7" x14ac:dyDescent="0.45">
      <c r="A5" t="s">
        <v>8</v>
      </c>
      <c r="B5">
        <v>5000</v>
      </c>
      <c r="C5">
        <v>1000</v>
      </c>
      <c r="D5">
        <v>1000</v>
      </c>
      <c r="E5">
        <v>1000</v>
      </c>
      <c r="F5" s="2">
        <v>1000</v>
      </c>
    </row>
    <row r="6" spans="1:7" x14ac:dyDescent="0.45">
      <c r="A6" t="s">
        <v>9</v>
      </c>
      <c r="B6" s="2">
        <v>5000</v>
      </c>
      <c r="C6" s="2">
        <v>1000</v>
      </c>
      <c r="D6" s="2">
        <v>2000</v>
      </c>
      <c r="E6" s="2">
        <v>3000</v>
      </c>
      <c r="F6" s="2">
        <v>4000</v>
      </c>
    </row>
    <row r="7" spans="1:7" x14ac:dyDescent="0.45">
      <c r="A7" t="s">
        <v>10</v>
      </c>
      <c r="B7" s="3">
        <f>NPV($B$1, B6:F6)</f>
        <v>11407.256086581267</v>
      </c>
    </row>
    <row r="9" spans="1:7" x14ac:dyDescent="0.45">
      <c r="A9" t="s">
        <v>11</v>
      </c>
      <c r="B9" t="s">
        <v>2</v>
      </c>
      <c r="C9" t="s">
        <v>3</v>
      </c>
      <c r="D9" t="s">
        <v>4</v>
      </c>
      <c r="E9" t="s">
        <v>5</v>
      </c>
      <c r="F9" t="s">
        <v>6</v>
      </c>
      <c r="G9" t="s">
        <v>12</v>
      </c>
    </row>
    <row r="10" spans="1:7" x14ac:dyDescent="0.45">
      <c r="A10" t="s">
        <v>7</v>
      </c>
      <c r="B10">
        <v>1000</v>
      </c>
      <c r="C10">
        <v>2000</v>
      </c>
      <c r="D10">
        <v>4000</v>
      </c>
      <c r="E10">
        <v>4000</v>
      </c>
      <c r="F10">
        <v>4000</v>
      </c>
    </row>
    <row r="11" spans="1:7" x14ac:dyDescent="0.45">
      <c r="A11" t="s">
        <v>8</v>
      </c>
      <c r="B11">
        <v>2000</v>
      </c>
      <c r="C11">
        <v>2000</v>
      </c>
      <c r="D11">
        <v>2000</v>
      </c>
      <c r="E11">
        <v>2000</v>
      </c>
      <c r="F11">
        <v>2000</v>
      </c>
    </row>
    <row r="12" spans="1:7" x14ac:dyDescent="0.45">
      <c r="A12" t="s">
        <v>9</v>
      </c>
      <c r="B12">
        <v>1000</v>
      </c>
      <c r="D12">
        <v>2000</v>
      </c>
      <c r="E12">
        <v>2000</v>
      </c>
      <c r="F12">
        <v>2000</v>
      </c>
    </row>
    <row r="13" spans="1:7" x14ac:dyDescent="0.45">
      <c r="A13" t="s">
        <v>10</v>
      </c>
      <c r="B13" s="3">
        <f>NPV($B$1, B12:F12)</f>
        <v>5430.6399836076762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ED48A-7DFB-4D5F-BB83-B3E304681BB7}">
  <dimension ref="A1:F15"/>
  <sheetViews>
    <sheetView workbookViewId="0">
      <selection activeCell="B15" sqref="B15"/>
    </sheetView>
  </sheetViews>
  <sheetFormatPr defaultRowHeight="14.25" x14ac:dyDescent="0.45"/>
  <cols>
    <col min="1" max="1" width="23.19921875" customWidth="1"/>
  </cols>
  <sheetData>
    <row r="1" spans="1:6" x14ac:dyDescent="0.45">
      <c r="A1" t="s">
        <v>0</v>
      </c>
      <c r="B1" s="1">
        <v>0.08</v>
      </c>
    </row>
    <row r="3" spans="1:6" x14ac:dyDescent="0.45">
      <c r="B3">
        <v>0</v>
      </c>
      <c r="C3">
        <v>1</v>
      </c>
      <c r="D3">
        <v>2</v>
      </c>
      <c r="E3">
        <v>3</v>
      </c>
      <c r="F3" t="s">
        <v>12</v>
      </c>
    </row>
    <row r="4" spans="1:6" x14ac:dyDescent="0.45">
      <c r="A4" t="s">
        <v>13</v>
      </c>
      <c r="B4">
        <v>140000</v>
      </c>
      <c r="C4">
        <v>40000</v>
      </c>
      <c r="D4">
        <v>40000</v>
      </c>
      <c r="E4">
        <v>40000</v>
      </c>
    </row>
    <row r="5" spans="1:6" x14ac:dyDescent="0.45">
      <c r="A5" t="s">
        <v>14</v>
      </c>
      <c r="B5">
        <v>1</v>
      </c>
      <c r="C5">
        <v>0.93</v>
      </c>
      <c r="D5">
        <v>0.86</v>
      </c>
      <c r="E5">
        <v>0.79</v>
      </c>
    </row>
    <row r="6" spans="1:6" x14ac:dyDescent="0.45">
      <c r="A6" t="s">
        <v>15</v>
      </c>
      <c r="B6">
        <f>B4*B5</f>
        <v>140000</v>
      </c>
      <c r="C6">
        <f>C4*C5</f>
        <v>37200</v>
      </c>
      <c r="D6">
        <f>D4*D5</f>
        <v>34400</v>
      </c>
      <c r="E6">
        <f>E4*E5</f>
        <v>31600</v>
      </c>
      <c r="F6">
        <f>SUM(B6:E6)</f>
        <v>243200</v>
      </c>
    </row>
    <row r="8" spans="1:6" x14ac:dyDescent="0.45">
      <c r="A8" t="s">
        <v>16</v>
      </c>
      <c r="C8">
        <v>200000</v>
      </c>
      <c r="D8">
        <v>200000</v>
      </c>
      <c r="E8">
        <v>200000</v>
      </c>
    </row>
    <row r="9" spans="1:6" x14ac:dyDescent="0.45">
      <c r="A9" t="s">
        <v>14</v>
      </c>
      <c r="B9">
        <v>1</v>
      </c>
      <c r="C9">
        <v>0.93</v>
      </c>
      <c r="D9">
        <v>0.86</v>
      </c>
      <c r="E9">
        <v>0.79</v>
      </c>
    </row>
    <row r="10" spans="1:6" x14ac:dyDescent="0.45">
      <c r="A10" t="s">
        <v>17</v>
      </c>
      <c r="B10">
        <f>B8*B9</f>
        <v>0</v>
      </c>
      <c r="C10">
        <f>C8*C9</f>
        <v>186000</v>
      </c>
      <c r="D10">
        <f>D8*D9</f>
        <v>172000</v>
      </c>
      <c r="E10">
        <f>E8*E9</f>
        <v>158000</v>
      </c>
      <c r="F10">
        <f>SUM(B10:E10)</f>
        <v>516000</v>
      </c>
    </row>
    <row r="12" spans="1:6" x14ac:dyDescent="0.45">
      <c r="A12" t="s">
        <v>18</v>
      </c>
      <c r="B12">
        <f>B10-B6</f>
        <v>-140000</v>
      </c>
      <c r="C12">
        <f>C10-C6</f>
        <v>148800</v>
      </c>
      <c r="D12">
        <f>D10-D6</f>
        <v>137600</v>
      </c>
      <c r="E12">
        <f>E10-E6</f>
        <v>126400</v>
      </c>
      <c r="F12">
        <f>SUM(B12:E12)</f>
        <v>272800</v>
      </c>
    </row>
    <row r="13" spans="1:6" x14ac:dyDescent="0.45">
      <c r="A13" t="s">
        <v>19</v>
      </c>
    </row>
    <row r="15" spans="1:6" x14ac:dyDescent="0.45">
      <c r="A15" t="s">
        <v>20</v>
      </c>
      <c r="B15" s="5">
        <f>(F10 - F6) / F6</f>
        <v>1.1217105263157894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19CD74-BE25-4E33-B499-F11EA1BDE619}">
  <dimension ref="A1:E6"/>
  <sheetViews>
    <sheetView workbookViewId="0">
      <selection activeCell="E17" sqref="E17"/>
    </sheetView>
  </sheetViews>
  <sheetFormatPr defaultRowHeight="14.25" x14ac:dyDescent="0.45"/>
  <cols>
    <col min="1" max="1" width="11.86328125" customWidth="1"/>
    <col min="4" max="4" width="11.19921875" customWidth="1"/>
    <col min="5" max="5" width="13.19921875" customWidth="1"/>
  </cols>
  <sheetData>
    <row r="1" spans="1:5" x14ac:dyDescent="0.45">
      <c r="A1" t="s">
        <v>21</v>
      </c>
      <c r="B1" t="s">
        <v>22</v>
      </c>
      <c r="C1" t="s">
        <v>7</v>
      </c>
      <c r="D1" t="s">
        <v>23</v>
      </c>
      <c r="E1" t="s">
        <v>24</v>
      </c>
    </row>
    <row r="2" spans="1:5" x14ac:dyDescent="0.45">
      <c r="A2">
        <v>0</v>
      </c>
      <c r="B2">
        <v>140000</v>
      </c>
      <c r="C2">
        <v>0</v>
      </c>
      <c r="D2">
        <f>B2</f>
        <v>140000</v>
      </c>
      <c r="E2">
        <f>C2</f>
        <v>0</v>
      </c>
    </row>
    <row r="3" spans="1:5" x14ac:dyDescent="0.45">
      <c r="A3">
        <v>1</v>
      </c>
      <c r="B3">
        <v>37200</v>
      </c>
      <c r="C3">
        <v>186000</v>
      </c>
      <c r="D3">
        <f>D2 + B3</f>
        <v>177200</v>
      </c>
      <c r="E3">
        <f>E2 + C3</f>
        <v>186000</v>
      </c>
    </row>
    <row r="4" spans="1:5" x14ac:dyDescent="0.45">
      <c r="A4">
        <v>2</v>
      </c>
      <c r="B4">
        <v>34400</v>
      </c>
      <c r="C4">
        <v>172000</v>
      </c>
      <c r="D4">
        <f t="shared" ref="D4:D5" si="0">D3 + B4</f>
        <v>211600</v>
      </c>
      <c r="E4">
        <f t="shared" ref="E4:E5" si="1">E3 + C4</f>
        <v>358000</v>
      </c>
    </row>
    <row r="5" spans="1:5" x14ac:dyDescent="0.45">
      <c r="A5">
        <v>3</v>
      </c>
      <c r="B5">
        <v>31600</v>
      </c>
      <c r="C5">
        <v>158000</v>
      </c>
      <c r="D5">
        <f t="shared" si="0"/>
        <v>243200</v>
      </c>
      <c r="E5">
        <f t="shared" si="1"/>
        <v>516000</v>
      </c>
    </row>
    <row r="6" spans="1:5" x14ac:dyDescent="0.45">
      <c r="A6" t="s">
        <v>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B31FB6-31D0-4408-A52C-CFAEE68369BF}">
  <dimension ref="A1:C8"/>
  <sheetViews>
    <sheetView workbookViewId="0">
      <selection activeCell="C7" sqref="C7"/>
    </sheetView>
  </sheetViews>
  <sheetFormatPr defaultRowHeight="14.25" x14ac:dyDescent="0.45"/>
  <cols>
    <col min="1" max="1" width="26.1328125" customWidth="1"/>
  </cols>
  <sheetData>
    <row r="1" spans="1:3" x14ac:dyDescent="0.45">
      <c r="A1" t="s">
        <v>26</v>
      </c>
      <c r="B1" t="s">
        <v>27</v>
      </c>
      <c r="C1">
        <v>23000</v>
      </c>
    </row>
    <row r="2" spans="1:3" x14ac:dyDescent="0.45">
      <c r="A2" t="s">
        <v>28</v>
      </c>
      <c r="B2" t="s">
        <v>31</v>
      </c>
      <c r="C2">
        <v>20000</v>
      </c>
    </row>
    <row r="3" spans="1:3" x14ac:dyDescent="0.45">
      <c r="A3" t="s">
        <v>29</v>
      </c>
      <c r="B3" t="s">
        <v>32</v>
      </c>
      <c r="C3">
        <v>25000</v>
      </c>
    </row>
    <row r="4" spans="1:3" x14ac:dyDescent="0.45">
      <c r="A4" t="s">
        <v>30</v>
      </c>
      <c r="B4" t="s">
        <v>33</v>
      </c>
      <c r="C4">
        <v>120000</v>
      </c>
    </row>
    <row r="5" spans="1:3" x14ac:dyDescent="0.45">
      <c r="A5" t="s">
        <v>35</v>
      </c>
      <c r="B5" t="s">
        <v>34</v>
      </c>
      <c r="C5">
        <f>C2 - C3</f>
        <v>-5000</v>
      </c>
    </row>
    <row r="6" spans="1:3" x14ac:dyDescent="0.45">
      <c r="A6" t="s">
        <v>36</v>
      </c>
      <c r="B6" t="s">
        <v>37</v>
      </c>
      <c r="C6">
        <f>C2 - C1</f>
        <v>-3000</v>
      </c>
    </row>
    <row r="7" spans="1:3" x14ac:dyDescent="0.45">
      <c r="A7" t="s">
        <v>38</v>
      </c>
      <c r="B7" t="s">
        <v>39</v>
      </c>
      <c r="C7">
        <f>C2 / C3</f>
        <v>0.8</v>
      </c>
    </row>
    <row r="8" spans="1:3" x14ac:dyDescent="0.45">
      <c r="A8" t="s">
        <v>41</v>
      </c>
      <c r="B8" t="s">
        <v>40</v>
      </c>
      <c r="C8">
        <f>C2 / C1</f>
        <v>0.86956521739130432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86D9DF-68E9-4F80-A12E-6488F94ED13D}">
  <dimension ref="A1:F12"/>
  <sheetViews>
    <sheetView tabSelected="1" workbookViewId="0">
      <selection activeCell="E18" sqref="E18"/>
    </sheetView>
  </sheetViews>
  <sheetFormatPr defaultRowHeight="14.25" x14ac:dyDescent="0.45"/>
  <cols>
    <col min="1" max="1" width="19.46484375" customWidth="1"/>
    <col min="2" max="2" width="13.1328125" customWidth="1"/>
    <col min="3" max="3" width="14.6640625" customWidth="1"/>
    <col min="4" max="4" width="14.59765625" customWidth="1"/>
    <col min="5" max="5" width="23.73046875" customWidth="1"/>
  </cols>
  <sheetData>
    <row r="1" spans="1:6" x14ac:dyDescent="0.45">
      <c r="A1" s="6" t="s">
        <v>42</v>
      </c>
      <c r="B1" s="6" t="s">
        <v>43</v>
      </c>
      <c r="C1" s="6" t="s">
        <v>44</v>
      </c>
      <c r="D1" s="6" t="s">
        <v>29</v>
      </c>
      <c r="E1" s="6" t="s">
        <v>45</v>
      </c>
      <c r="F1" s="6"/>
    </row>
    <row r="2" spans="1:6" x14ac:dyDescent="0.45">
      <c r="A2">
        <v>1</v>
      </c>
      <c r="B2" s="1">
        <v>1</v>
      </c>
      <c r="C2">
        <v>30</v>
      </c>
      <c r="D2">
        <v>40</v>
      </c>
      <c r="E2" s="6">
        <f>B2*C2</f>
        <v>30</v>
      </c>
    </row>
    <row r="3" spans="1:6" x14ac:dyDescent="0.45">
      <c r="A3">
        <v>2</v>
      </c>
      <c r="B3" s="1">
        <v>1</v>
      </c>
      <c r="C3">
        <v>30</v>
      </c>
      <c r="D3">
        <v>35</v>
      </c>
      <c r="E3" s="6">
        <f>B3*C3</f>
        <v>30</v>
      </c>
    </row>
    <row r="4" spans="1:6" x14ac:dyDescent="0.45">
      <c r="A4">
        <v>3</v>
      </c>
      <c r="B4" s="1">
        <v>0.5</v>
      </c>
      <c r="C4">
        <v>30</v>
      </c>
      <c r="D4">
        <v>20</v>
      </c>
      <c r="E4" s="6">
        <f>B4*C4</f>
        <v>15</v>
      </c>
    </row>
    <row r="5" spans="1:6" x14ac:dyDescent="0.45">
      <c r="A5" s="6" t="s">
        <v>46</v>
      </c>
      <c r="B5" s="6"/>
      <c r="C5" s="6">
        <f>SUM(C2:C4)</f>
        <v>90</v>
      </c>
      <c r="D5" s="6">
        <f>SUM(D2:D4)</f>
        <v>95</v>
      </c>
      <c r="E5" s="6">
        <f>SUM(E2:E4)</f>
        <v>75</v>
      </c>
    </row>
    <row r="6" spans="1:6" x14ac:dyDescent="0.45">
      <c r="A6" s="6"/>
      <c r="B6" s="6"/>
      <c r="C6" s="6"/>
      <c r="D6" s="6"/>
      <c r="E6" s="6"/>
    </row>
    <row r="7" spans="1:6" x14ac:dyDescent="0.45">
      <c r="C7" s="6" t="s">
        <v>48</v>
      </c>
    </row>
    <row r="8" spans="1:6" x14ac:dyDescent="0.45">
      <c r="A8" s="6" t="s">
        <v>47</v>
      </c>
      <c r="B8" t="s">
        <v>27</v>
      </c>
      <c r="C8">
        <f>4*30</f>
        <v>120</v>
      </c>
    </row>
    <row r="9" spans="1:6" x14ac:dyDescent="0.45">
      <c r="A9" s="6" t="s">
        <v>28</v>
      </c>
      <c r="B9" t="s">
        <v>31</v>
      </c>
      <c r="C9">
        <f>E5</f>
        <v>75</v>
      </c>
    </row>
    <row r="10" spans="1:6" x14ac:dyDescent="0.45">
      <c r="A10" s="6" t="s">
        <v>29</v>
      </c>
      <c r="B10" t="s">
        <v>32</v>
      </c>
      <c r="C10">
        <f>D5</f>
        <v>95</v>
      </c>
    </row>
    <row r="11" spans="1:6" x14ac:dyDescent="0.45">
      <c r="A11" s="6" t="s">
        <v>38</v>
      </c>
      <c r="B11" t="s">
        <v>39</v>
      </c>
      <c r="C11">
        <f>C9/C10</f>
        <v>0.78947368421052633</v>
      </c>
    </row>
    <row r="12" spans="1:6" x14ac:dyDescent="0.45">
      <c r="A12" s="6" t="s">
        <v>41</v>
      </c>
      <c r="B12" t="s">
        <v>40</v>
      </c>
      <c r="C12">
        <f>C9/C8</f>
        <v>0.625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Bài 1</vt:lpstr>
      <vt:lpstr>Bài 2</vt:lpstr>
      <vt:lpstr>Bài 3</vt:lpstr>
      <vt:lpstr>Bài 4</vt:lpstr>
      <vt:lpstr>Bài 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Hiền Nguyễn Thị Thanh</dc:creator>
  <cp:lastModifiedBy>Hiền Nguyễn Thị Thanh</cp:lastModifiedBy>
  <dcterms:created xsi:type="dcterms:W3CDTF">2025-11-11T13:12:09Z</dcterms:created>
  <dcterms:modified xsi:type="dcterms:W3CDTF">2025-11-11T15:43:57Z</dcterms:modified>
</cp:coreProperties>
</file>